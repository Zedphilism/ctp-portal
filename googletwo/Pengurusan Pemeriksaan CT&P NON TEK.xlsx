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NASAMA" sheetId="1" r:id="rId5"/>
    <sheet state="hidden" name="Claude Cache" sheetId="2" r:id="rId6"/>
    <sheet state="visible" name="FAT" sheetId="3" r:id="rId7"/>
    <sheet state="visible" name="LogSheet" sheetId="4" r:id="rId8"/>
    <sheet state="visible" name="Pemeriksa" sheetId="5" r:id="rId9"/>
    <sheet state="visible" name="Senarai Gunasama 1" sheetId="6" r:id="rId10"/>
    <sheet state="visible" name="Senarai Gunasama 2" sheetId="7" r:id="rId11"/>
    <sheet state="visible" name="SETTINGS" sheetId="8" r:id="rId12"/>
  </sheets>
  <definedNames/>
  <calcPr/>
</workbook>
</file>

<file path=xl/sharedStrings.xml><?xml version="1.0" encoding="utf-8"?>
<sst xmlns="http://schemas.openxmlformats.org/spreadsheetml/2006/main" count="307" uniqueCount="242">
  <si>
    <t>Timestamp</t>
  </si>
  <si>
    <t>Nama pasukan / unit</t>
  </si>
  <si>
    <t>Lokasi Pemeriksaan</t>
  </si>
  <si>
    <t>Rujuk Surat</t>
  </si>
  <si>
    <t>Tarikh Surat</t>
  </si>
  <si>
    <t>Nama Pemohon</t>
  </si>
  <si>
    <t>No Telefon</t>
  </si>
  <si>
    <t>Jenis pemeriksaan</t>
  </si>
  <si>
    <t>Daerah</t>
  </si>
  <si>
    <t>Negeri</t>
  </si>
  <si>
    <t>Zon</t>
  </si>
  <si>
    <t>Jenis Barang/Item</t>
  </si>
  <si>
    <t>Bilangan Barang/Item</t>
  </si>
  <si>
    <t>Upload surat permohonan. Pastikan file dalam format PDF</t>
  </si>
  <si>
    <t xml:space="preserve">No Kontrak  </t>
  </si>
  <si>
    <t xml:space="preserve">Senarai No LO (AM 75) </t>
  </si>
  <si>
    <t>Tarikh LO (AM 75)</t>
  </si>
  <si>
    <t>Nilai Setiap LO (RM)</t>
  </si>
  <si>
    <t>Jumlah Keseluruhan Nilai LO (RM)</t>
  </si>
  <si>
    <t>Tarikh Hantar Sampel Ke Makmal CT&amp;P</t>
  </si>
  <si>
    <t>Tarikh Hantar Sampel ke Makmal STRIDE</t>
  </si>
  <si>
    <t>Tarikh Terima Laporan Makmal CT&amp;P/STRIDE</t>
  </si>
  <si>
    <t>Dokumen Berkaitan (jika ada)</t>
  </si>
  <si>
    <t>Status</t>
  </si>
  <si>
    <t>Report Result</t>
  </si>
  <si>
    <t>Priority</t>
  </si>
  <si>
    <t>Assigned Inspector 1</t>
  </si>
  <si>
    <t>Assigned Inspector 2</t>
  </si>
  <si>
    <t>Assigned Date</t>
  </si>
  <si>
    <t>Job ID</t>
  </si>
  <si>
    <t>Inspector Structured Data</t>
  </si>
  <si>
    <t>Lampiran Bukti</t>
  </si>
  <si>
    <t>⚠️ SHEET RESERVED FOR =CLAUDE... FUNCTIONS. DO NOT EDIT! ⚠️</t>
  </si>
  <si>
    <t>Key</t>
  </si>
  <si>
    <t>Value</t>
  </si>
  <si>
    <t>Expiration</t>
  </si>
  <si>
    <t xml:space="preserve">Jenis pemeriksaan  </t>
  </si>
  <si>
    <t xml:space="preserve">Negeri  </t>
  </si>
  <si>
    <t>Deskripsi Peralatan</t>
  </si>
  <si>
    <t>Upload Arahan Pentadbiran.
Pastikan file dalam format PDF</t>
  </si>
  <si>
    <t>Kuantiti@CES</t>
  </si>
  <si>
    <t>Harga (RM)</t>
  </si>
  <si>
    <t>Nama Syarikat</t>
  </si>
  <si>
    <t>Lokasi FAT</t>
  </si>
  <si>
    <t>Nama Pemeriksa</t>
  </si>
  <si>
    <t>Pangkat</t>
  </si>
  <si>
    <t>Penjawatan</t>
  </si>
  <si>
    <t>Specialization/Tred</t>
  </si>
  <si>
    <t>Base Location</t>
  </si>
  <si>
    <t>Phone Number</t>
  </si>
  <si>
    <t>Email</t>
  </si>
  <si>
    <t>Penugasan Semasa</t>
  </si>
  <si>
    <t>Penugasan Terakhir</t>
  </si>
  <si>
    <t>Photo_URL</t>
  </si>
  <si>
    <t>Preferred Zone</t>
  </si>
  <si>
    <t>SHARIFAH ANNIE ADDILLAH BINTI SYED MOHAMAD HAZAM</t>
  </si>
  <si>
    <t>KAPT</t>
  </si>
  <si>
    <t>Pegawai Pemeriksa 2 (KOD)</t>
  </si>
  <si>
    <t>Seri Kembangan</t>
  </si>
  <si>
    <t>019-3611226</t>
  </si>
  <si>
    <t>fadilahzulkipli@gmail.com</t>
  </si>
  <si>
    <t>Kursus</t>
  </si>
  <si>
    <t>NURULAISYAH BINTI HAMDAN</t>
  </si>
  <si>
    <t>Pegawai Pemeriksa 3 (KPD)</t>
  </si>
  <si>
    <t>Sungai Besi</t>
  </si>
  <si>
    <t>011-39614500</t>
  </si>
  <si>
    <t>pokjay7997@gmail.com</t>
  </si>
  <si>
    <t>Aktif</t>
  </si>
  <si>
    <t>MEOR MUHAMMAD MURAD BIN MEOR BUSU</t>
  </si>
  <si>
    <t>SSJN</t>
  </si>
  <si>
    <t>Pemeriksa Non-Teknikal</t>
  </si>
  <si>
    <t>Logistik</t>
  </si>
  <si>
    <t>Kuala Lumpur</t>
  </si>
  <si>
    <t>011-31205413</t>
  </si>
  <si>
    <t>amir538756@gmail.com</t>
  </si>
  <si>
    <r>
      <rPr>
        <color rgb="FF1155CC"/>
        <u/>
      </rPr>
      <t>https://drive.google.com/file/d/1ySSN8mZtgHki6IPIdwa85WFZLtZY5PsW/view?usp=sharing</t>
    </r>
    <r>
      <rPr/>
      <t xml:space="preserve"> </t>
    </r>
  </si>
  <si>
    <t>MUHAMMAD RIDHWAN BIN AMIRUDIN</t>
  </si>
  <si>
    <t>SJN (U)</t>
  </si>
  <si>
    <t>Material</t>
  </si>
  <si>
    <t xml:space="preserve">Shah Alam, Selangor </t>
  </si>
  <si>
    <t>019-2924211</t>
  </si>
  <si>
    <t>shafeeishak@gmail.com</t>
  </si>
  <si>
    <t>Cuti</t>
  </si>
  <si>
    <r>
      <rPr>
        <color rgb="FF1155CC"/>
        <u/>
      </rPr>
      <t>https://drive.google.com/file/d/1is8iwTSdEQb0WFoUzdOhih694wYgahrC/view?usp=sharing</t>
    </r>
    <r>
      <rPr/>
      <t xml:space="preserve"> </t>
    </r>
  </si>
  <si>
    <t>AZZUWAN BIN RAJAK</t>
  </si>
  <si>
    <t>SJN</t>
  </si>
  <si>
    <t>Pemandu</t>
  </si>
  <si>
    <t>013-4518813</t>
  </si>
  <si>
    <t>eijat3077@gmail.com</t>
  </si>
  <si>
    <t>Telah Ditugaskan</t>
  </si>
  <si>
    <t>MOHAMAD KHAIRUL HALIMIN BIN RAHANI</t>
  </si>
  <si>
    <t>013-3681392</t>
  </si>
  <si>
    <t>mohamadfazwan8684@gmail.com</t>
  </si>
  <si>
    <r>
      <rPr>
        <color rgb="FF1155CC"/>
        <u/>
      </rPr>
      <t>https://drive.google.com/file/d/1JuH5kLcjHtEEXz1OYYOJWquDfmPDTMsA/view?usp=sharing</t>
    </r>
    <r>
      <rPr/>
      <t xml:space="preserve"> </t>
    </r>
  </si>
  <si>
    <t>NORSHAHFEDI BIN NORDIN</t>
  </si>
  <si>
    <t>Paroi, Negeri Sembilan</t>
  </si>
  <si>
    <t>014-3923654</t>
  </si>
  <si>
    <t>m.faizal8938@gmail.com</t>
  </si>
  <si>
    <t>MOHD SYAIFUL IKHMAL BIN ZULKIFLI</t>
  </si>
  <si>
    <t>011-65885592</t>
  </si>
  <si>
    <t>asyaifudin890@gmail.com</t>
  </si>
  <si>
    <r>
      <rPr>
        <color rgb="FF1155CC"/>
        <u/>
      </rPr>
      <t>https://drive.google.com/file/d/11LQRUsPu2zHfj4y90zsHQm0EyByuXiB2/view?usp=sharing</t>
    </r>
    <r>
      <rPr/>
      <t xml:space="preserve"> </t>
    </r>
  </si>
  <si>
    <t xml:space="preserve">SHA JULIANA BINTI SARON </t>
  </si>
  <si>
    <t>AWAM</t>
  </si>
  <si>
    <t>Pembantu Tadbir (P/O) N2</t>
  </si>
  <si>
    <t>013-9018086</t>
  </si>
  <si>
    <t>zaidi3116@gmail.com</t>
  </si>
  <si>
    <t>NURSHEEMA MELISSA BINTI MAT KHAMIS</t>
  </si>
  <si>
    <t>017-3279273</t>
  </si>
  <si>
    <t>nazirul.hafiz364@gmail.com</t>
  </si>
  <si>
    <t>IZAHAM BIN ISHAK</t>
  </si>
  <si>
    <t>Semenyih, Selangor</t>
  </si>
  <si>
    <t>011-23460545</t>
  </si>
  <si>
    <t>ejattjangs1839@gmail.com</t>
  </si>
  <si>
    <t>ASILA BINTI AHMAD</t>
  </si>
  <si>
    <t>012-5780771</t>
  </si>
  <si>
    <t>nimmoz.liner87@gmail.com</t>
  </si>
  <si>
    <t>SYARINAH BINTI SHARIFFUDDIN</t>
  </si>
  <si>
    <t>012-3615693</t>
  </si>
  <si>
    <t>NOR SURIA BINTI ABDUL RAHMAN</t>
  </si>
  <si>
    <t>012-3038930</t>
  </si>
  <si>
    <t>RAIDAH NAZIHAH BINTI MAHMUD</t>
  </si>
  <si>
    <t>019-2657372</t>
  </si>
  <si>
    <t>Bil</t>
  </si>
  <si>
    <t>Deskripsi Barang/Item</t>
  </si>
  <si>
    <t>Pakaian (Head-to-toe)</t>
  </si>
  <si>
    <t>Seluar &amp; baju No.3 TDM</t>
  </si>
  <si>
    <t>Seluar &amp; baju No.1 TDM</t>
  </si>
  <si>
    <t>Seluar &amp; baju celoreng</t>
  </si>
  <si>
    <t>Seluar &amp; baju No.3 TUDM</t>
  </si>
  <si>
    <t>Seluar &amp; baju No.1 TUDM</t>
  </si>
  <si>
    <t>Jungle hat</t>
  </si>
  <si>
    <t>Overall</t>
  </si>
  <si>
    <t>Ballistic helmet cover</t>
  </si>
  <si>
    <t>Rain coat</t>
  </si>
  <si>
    <t>Beret,hat,cap</t>
  </si>
  <si>
    <t>Songkok</t>
  </si>
  <si>
    <t>Samping</t>
  </si>
  <si>
    <t>Pakaian kalis api Bomba TD</t>
  </si>
  <si>
    <t>Life Jacket</t>
  </si>
  <si>
    <t>Lencana Pasukan &amp; pingat</t>
  </si>
  <si>
    <t>Lencana Pangkat</t>
  </si>
  <si>
    <t>Lanyard</t>
  </si>
  <si>
    <t>Pakaian Kalis peluru</t>
  </si>
  <si>
    <t>Pakaian Juruteknik TUDM</t>
  </si>
  <si>
    <t>Jersey Pull over</t>
  </si>
  <si>
    <t>Tuala Mandi</t>
  </si>
  <si>
    <t>Label Nama &amp; Kor</t>
  </si>
  <si>
    <t>Selimpang sambrown</t>
  </si>
  <si>
    <t>Luminious Jacket</t>
  </si>
  <si>
    <t xml:space="preserve">Ballistic Helmet </t>
  </si>
  <si>
    <t>Tracksuit TDM</t>
  </si>
  <si>
    <t>Tracksuit TUDM</t>
  </si>
  <si>
    <t xml:space="preserve">Pakaian No.2 Bush Jacket TDM </t>
  </si>
  <si>
    <t>Pakaian No.2 Alfa TLDM</t>
  </si>
  <si>
    <t>Semua jenis kain/tekstil</t>
  </si>
  <si>
    <t>Semua jenis kasut</t>
  </si>
  <si>
    <t>Semua jenis stocking</t>
  </si>
  <si>
    <t>Beg tangan</t>
  </si>
  <si>
    <t>Semua Jenis tali pinggang</t>
  </si>
  <si>
    <t>Semua jenis peralatan webbing</t>
  </si>
  <si>
    <t>Ponco</t>
  </si>
  <si>
    <t>Am 2</t>
  </si>
  <si>
    <t>Kelambu</t>
  </si>
  <si>
    <t>Sand bag jute</t>
  </si>
  <si>
    <t>Cotton rag</t>
  </si>
  <si>
    <t>Plastic water container</t>
  </si>
  <si>
    <t xml:space="preserve">Aksesori pakaian </t>
  </si>
  <si>
    <t>Produk Bukan Kayu</t>
  </si>
  <si>
    <t>Perabot Pejabat (bukan berasaskan kayu)</t>
  </si>
  <si>
    <t>Settee rotan</t>
  </si>
  <si>
    <t>Kerusi plastik</t>
  </si>
  <si>
    <t>Kabinet,rak &amp; gerobok besi</t>
  </si>
  <si>
    <t>Katil besi</t>
  </si>
  <si>
    <t>Langsir &amp; blind</t>
  </si>
  <si>
    <t>Tong sampah</t>
  </si>
  <si>
    <t>Kerusi berasaskan kain</t>
  </si>
  <si>
    <t>Bakul rotan</t>
  </si>
  <si>
    <t>Produk Kayu</t>
  </si>
  <si>
    <t>Perabot rumah keluarga</t>
  </si>
  <si>
    <t>Perabot pejabat (berasaskan kayu)</t>
  </si>
  <si>
    <t>Table GS</t>
  </si>
  <si>
    <t>Military Coffin</t>
  </si>
  <si>
    <t>Plywood</t>
  </si>
  <si>
    <t>Kayu bergergaji</t>
  </si>
  <si>
    <t>Semua jenis khemah</t>
  </si>
  <si>
    <t>Semua jenis shelter</t>
  </si>
  <si>
    <t>Semua jenis vehicle canopy</t>
  </si>
  <si>
    <t>Bag kit</t>
  </si>
  <si>
    <t>Strecher</t>
  </si>
  <si>
    <t>Aluminium Folding bed</t>
  </si>
  <si>
    <t>Vehicle document holder</t>
  </si>
  <si>
    <t>Cover water proof</t>
  </si>
  <si>
    <t>Hammock bed</t>
  </si>
  <si>
    <t>Tilam &amp; bantal</t>
  </si>
  <si>
    <t>Kusyen settee</t>
  </si>
  <si>
    <t>Cadar, sarung bantal &amp; sarung kusyen</t>
  </si>
  <si>
    <t>blanket</t>
  </si>
  <si>
    <t>Semua jenis alat tulis</t>
  </si>
  <si>
    <t>Semua jenis kertas</t>
  </si>
  <si>
    <t>Semua jenis aksesori komputer</t>
  </si>
  <si>
    <t>Semua jenis parachute</t>
  </si>
  <si>
    <t>Semua jenis cat</t>
  </si>
  <si>
    <t>Thinner</t>
  </si>
  <si>
    <t>Red Oxide Primer</t>
  </si>
  <si>
    <t xml:space="preserve">Semua jenis minyak </t>
  </si>
  <si>
    <t>Am 1</t>
  </si>
  <si>
    <t>Alat Hidangan</t>
  </si>
  <si>
    <t>Pengilat logam &amp; kasut</t>
  </si>
  <si>
    <t>Sarung kotak &amp; plastik</t>
  </si>
  <si>
    <t>Foot powder</t>
  </si>
  <si>
    <t>Panji-panji &amp; bendera</t>
  </si>
  <si>
    <t>Mess tin &amp; water bottle</t>
  </si>
  <si>
    <t>Berus kasut</t>
  </si>
  <si>
    <t>Camouflage net</t>
  </si>
  <si>
    <t xml:space="preserve">Makanan kuda </t>
  </si>
  <si>
    <t>JAY AZRIN BIN CHE YAHAYA</t>
  </si>
  <si>
    <t>Pending</t>
  </si>
  <si>
    <t>Low</t>
  </si>
  <si>
    <t>AMIR AFIZIE BIN DAUD</t>
  </si>
  <si>
    <t>Assigned</t>
  </si>
  <si>
    <t>Normal</t>
  </si>
  <si>
    <t>SHAFEE BIN ISHAK</t>
  </si>
  <si>
    <t>In Progress</t>
  </si>
  <si>
    <t>High</t>
  </si>
  <si>
    <t>MOHD AIZAT BIN AYOB</t>
  </si>
  <si>
    <t>Completed</t>
  </si>
  <si>
    <t>Urgent</t>
  </si>
  <si>
    <t>MOHAMAD FAZWAN BIN ZAKARIA</t>
  </si>
  <si>
    <t>Cancelled</t>
  </si>
  <si>
    <t>Irrelevant</t>
  </si>
  <si>
    <t>MUHAMMAD FAIZAL BIN BATALUMI</t>
  </si>
  <si>
    <t>Rejected</t>
  </si>
  <si>
    <t>AMIR SYAIFUDIN BIN ISMAIL</t>
  </si>
  <si>
    <t>With Issue</t>
  </si>
  <si>
    <t>MOHAMAD ZAIDI BIN ABDULLAH</t>
  </si>
  <si>
    <t>NAZIRUL HAFIZ BIN ABD SHUKOR</t>
  </si>
  <si>
    <t>MUHAMMAD IZZAT BIN ABU ZAHARIN</t>
  </si>
  <si>
    <t>MOHAMAD SHARUL IZAM BIN MOHD HAIZENMAN</t>
  </si>
  <si>
    <t>NUR SYAHIRAH BINTI MOHD ZAID</t>
  </si>
  <si>
    <t>https://script.google.com/macros/s/AKfycbzyCi-6stLedx0-un55ldx_qOuPgRUrP5A_7nu6uCAINOZvQJatVIzfdowW6Vo02Dby/exec</t>
  </si>
  <si>
    <t>https://forms.gle/AmvVjUn3b45Bv56V7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</si>
</sst>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b/>
      <color theme="1"/>
      <name val="Arial"/>
      <scheme val="minor"/>
    </font>
    <font>
      <sz val="12.0"/>
      <color theme="1"/>
      <name val="Arial"/>
    </font>
    <font>
      <u/>
      <color rgb="FF0000FF"/>
      <name val="Roboto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2" numFmtId="49" xfId="0" applyAlignment="1" applyBorder="1" applyFont="1" applyNumberFormat="1">
      <alignment horizontal="center" readingOrder="0" shrinkToFit="0" vertical="center" wrapText="0"/>
    </xf>
    <xf borderId="2" fillId="2" fontId="2" numFmtId="49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shrinkToFit="0" wrapText="1"/>
    </xf>
    <xf borderId="0" fillId="0" fontId="3" numFmtId="0" xfId="0" applyFont="1"/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4" fontId="4" numFmtId="0" xfId="0" applyAlignment="1" applyFill="1" applyFont="1">
      <alignment readingOrder="0" shrinkToFit="0" vertical="center" wrapText="0"/>
    </xf>
    <xf borderId="0" fillId="4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4" fontId="4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3" fontId="4" numFmtId="0" xfId="0" applyAlignment="1" applyFont="1">
      <alignment shrinkToFit="0" wrapText="0"/>
    </xf>
    <xf borderId="0" fillId="3" fontId="4" numFmtId="0" xfId="0" applyAlignment="1" applyFont="1">
      <alignment shrinkToFit="0" wrapText="1"/>
    </xf>
    <xf borderId="0" fillId="3" fontId="4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7">
    <tableStyle count="4" pivot="0" name="GUNASA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meriksa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Senarai Gunasama 1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Senarai Gunasama 2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2" pivot="0" name="SETTINGS-style">
      <tableStyleElement dxfId="6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F1" displayName="Form_Responses2" name="Form_Responses2" id="1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GUNASAM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P1" displayName="Form_Responses" name="Form_Responses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FA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X1:AF1" displayName="Table1" name="Table1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A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L16" displayName="Table2" name="Table2" id="4">
  <tableColumns count="12">
    <tableColumn name="Nama Pemeriksa" id="1"/>
    <tableColumn name="Pangkat" id="2"/>
    <tableColumn name="Penjawatan" id="3"/>
    <tableColumn name="Specialization/Tred" id="4"/>
    <tableColumn name="Base Location" id="5"/>
    <tableColumn name="Phone Number" id="6"/>
    <tableColumn name="Email" id="7"/>
    <tableColumn name="Status" id="8"/>
    <tableColumn name="Penugasan Semasa" id="9"/>
    <tableColumn name="Penugasan Terakhir" id="10"/>
    <tableColumn name="Photo_URL" id="11"/>
    <tableColumn name="Preferred Zone" id="12"/>
  </tableColumns>
  <tableStyleInfo name="Pemeriksa-style" showColumnStripes="0" showFirstColumn="1" showLastColumn="1" showRowStripes="1"/>
</table>
</file>

<file path=xl/tables/table5.xml><?xml version="1.0" encoding="utf-8"?>
<table xmlns="http://schemas.openxmlformats.org/spreadsheetml/2006/main" ref="A2:C43" displayName="GUNASAMA_1" name="GUNASAMA_1" id="5">
  <tableColumns count="3">
    <tableColumn name="Bil" id="1"/>
    <tableColumn name="Jenis Barang/Item" id="2"/>
    <tableColumn name="Deskripsi Barang/Item" id="3"/>
  </tableColumns>
  <tableStyleInfo name="Senarai Gunasama 1-style" showColumnStripes="0" showFirstColumn="1" showLastColumn="1" showRowStripes="1"/>
</table>
</file>

<file path=xl/tables/table6.xml><?xml version="1.0" encoding="utf-8"?>
<table xmlns="http://schemas.openxmlformats.org/spreadsheetml/2006/main" ref="A2:C47" displayName="GUNASAMA_2" name="GUNASAMA_2" id="6">
  <tableColumns count="3">
    <tableColumn name="Bil" id="1"/>
    <tableColumn name="Jenis Barang/Item" id="2"/>
    <tableColumn name="Deskripsi Barang/Item" id="3"/>
  </tableColumns>
  <tableStyleInfo name="Senarai Gunasama 2-style" showColumnStripes="0" showFirstColumn="1" showLastColumn="1" showRowStripes="1"/>
</table>
</file>

<file path=xl/tables/table7.xml><?xml version="1.0" encoding="utf-8"?>
<table xmlns="http://schemas.openxmlformats.org/spreadsheetml/2006/main" headerRowCount="0" ref="A1:A12" displayName="Table_1" name="Table_1" id="7">
  <tableColumns count="1">
    <tableColumn name="Column1" id="1"/>
  </tableColumns>
  <tableStyleInfo name="SETT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SSN8mZtgHki6IPIdwa85WFZLtZY5PsW/view?usp=sharing" TargetMode="External"/><Relationship Id="rId2" Type="http://schemas.openxmlformats.org/officeDocument/2006/relationships/hyperlink" Target="https://drive.google.com/file/d/1is8iwTSdEQb0WFoUzdOhih694wYgahrC/view?usp=sharing" TargetMode="External"/><Relationship Id="rId3" Type="http://schemas.openxmlformats.org/officeDocument/2006/relationships/hyperlink" Target="https://drive.google.com/file/d/1JuH5kLcjHtEEXz1OYYOJWquDfmPDTMsA/view?usp=sharing" TargetMode="External"/><Relationship Id="rId4" Type="http://schemas.openxmlformats.org/officeDocument/2006/relationships/hyperlink" Target="https://drive.google.com/file/d/11LQRUsPu2zHfj4y90zsHQm0EyByuXiB2/view?usp=sharing" TargetMode="External"/><Relationship Id="rId5" Type="http://schemas.openxmlformats.org/officeDocument/2006/relationships/drawing" Target="../drawings/drawing5.xml"/><Relationship Id="rId7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zyCi-6stLedx0-un55ldx_qOuPgRUrP5A_7nu6uCAINOZvQJatVIzfdowW6Vo02Dby/exec" TargetMode="External"/><Relationship Id="rId2" Type="http://schemas.openxmlformats.org/officeDocument/2006/relationships/hyperlink" Target="https://script.google.com/macros/s/AKfycbzyCi-6stLedx0-un55ldx_qOuPgRUrP5A_7nu6uCAINOZvQJatVIzfdowW6Vo02Dby/exec" TargetMode="External"/><Relationship Id="rId3" Type="http://schemas.openxmlformats.org/officeDocument/2006/relationships/hyperlink" Target="https://script.google.com/macros/s/AKfycbzyCi-6stLedx0-un55ldx_qOuPgRUrP5A_7nu6uCAINOZvQJatVIzfdowW6Vo02Dby/exec" TargetMode="External"/><Relationship Id="rId4" Type="http://schemas.openxmlformats.org/officeDocument/2006/relationships/hyperlink" Target="https://forms.gle/AmvVjUn3b45Bv56V7" TargetMode="External"/><Relationship Id="rId5" Type="http://schemas.openxmlformats.org/officeDocument/2006/relationships/drawing" Target="../drawings/drawing8.x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18.88"/>
    <col customWidth="1" min="27" max="28" width="24.38"/>
    <col customWidth="1" min="29" max="29" width="19.5"/>
    <col customWidth="1" min="31" max="31" width="24.5"/>
    <col customWidth="1" min="32" max="32" width="16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5" t="s">
        <v>29</v>
      </c>
      <c r="AE1" s="5" t="s">
        <v>30</v>
      </c>
      <c r="AF1" s="6" t="s">
        <v>31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0.13"/>
  </cols>
  <sheetData>
    <row r="1">
      <c r="A1" s="7" t="s">
        <v>32</v>
      </c>
      <c r="B1" s="8"/>
      <c r="C1" s="9"/>
    </row>
    <row r="2">
      <c r="A2" s="7" t="s">
        <v>33</v>
      </c>
      <c r="B2" s="10" t="s">
        <v>34</v>
      </c>
      <c r="C2" s="7" t="s">
        <v>35</v>
      </c>
    </row>
    <row r="3">
      <c r="B3" s="11"/>
    </row>
    <row r="4">
      <c r="B4" s="11"/>
    </row>
    <row r="5">
      <c r="B5" s="11"/>
    </row>
    <row r="6">
      <c r="B6" s="11"/>
    </row>
    <row r="7">
      <c r="B7" s="11"/>
    </row>
    <row r="8">
      <c r="B8" s="11"/>
    </row>
    <row r="9">
      <c r="B9" s="11"/>
    </row>
    <row r="10">
      <c r="B10" s="11"/>
    </row>
    <row r="11">
      <c r="B11" s="11"/>
    </row>
    <row r="12">
      <c r="B12" s="11"/>
    </row>
    <row r="13">
      <c r="B13" s="11"/>
    </row>
    <row r="14">
      <c r="B14" s="11"/>
    </row>
    <row r="15">
      <c r="B15" s="11"/>
    </row>
    <row r="16">
      <c r="B16" s="11"/>
    </row>
    <row r="17">
      <c r="B17" s="11"/>
    </row>
    <row r="18">
      <c r="B18" s="11"/>
    </row>
    <row r="19">
      <c r="B19" s="11"/>
    </row>
    <row r="20">
      <c r="B20" s="11"/>
    </row>
    <row r="21">
      <c r="B21" s="11"/>
    </row>
    <row r="22">
      <c r="B22" s="11"/>
    </row>
    <row r="23">
      <c r="B23" s="11"/>
    </row>
    <row r="24">
      <c r="B24" s="11"/>
    </row>
    <row r="25">
      <c r="B25" s="11"/>
    </row>
    <row r="26">
      <c r="B26" s="11"/>
    </row>
    <row r="27">
      <c r="B27" s="11"/>
    </row>
    <row r="28">
      <c r="B28" s="11"/>
    </row>
    <row r="29">
      <c r="B29" s="11"/>
    </row>
    <row r="30">
      <c r="B30" s="11"/>
    </row>
    <row r="31">
      <c r="B31" s="11"/>
    </row>
    <row r="32">
      <c r="B32" s="11"/>
    </row>
    <row r="33">
      <c r="B33" s="11"/>
    </row>
    <row r="34">
      <c r="B34" s="11"/>
    </row>
    <row r="35">
      <c r="B35" s="11"/>
    </row>
    <row r="36">
      <c r="B36" s="11"/>
    </row>
    <row r="37">
      <c r="B37" s="11"/>
    </row>
    <row r="38">
      <c r="B38" s="11"/>
    </row>
    <row r="39">
      <c r="B39" s="11"/>
    </row>
    <row r="40">
      <c r="B40" s="11"/>
    </row>
    <row r="41">
      <c r="B41" s="11"/>
    </row>
    <row r="42">
      <c r="B42" s="11"/>
    </row>
    <row r="43">
      <c r="B43" s="11"/>
    </row>
    <row r="44">
      <c r="B44" s="11"/>
    </row>
    <row r="45">
      <c r="B45" s="11"/>
    </row>
    <row r="46">
      <c r="B46" s="11"/>
    </row>
    <row r="47">
      <c r="B47" s="11"/>
    </row>
    <row r="48">
      <c r="B48" s="11"/>
    </row>
    <row r="49">
      <c r="B49" s="11"/>
    </row>
    <row r="50">
      <c r="B50" s="11"/>
    </row>
    <row r="51">
      <c r="B51" s="11"/>
    </row>
    <row r="52">
      <c r="B52" s="11"/>
    </row>
    <row r="53">
      <c r="B53" s="11"/>
    </row>
    <row r="54">
      <c r="B54" s="11"/>
    </row>
    <row r="55">
      <c r="B55" s="11"/>
    </row>
    <row r="56">
      <c r="B56" s="11"/>
    </row>
    <row r="57">
      <c r="B57" s="11"/>
    </row>
    <row r="58">
      <c r="B58" s="11"/>
    </row>
    <row r="59">
      <c r="B59" s="11"/>
    </row>
    <row r="60">
      <c r="B60" s="11"/>
    </row>
    <row r="61">
      <c r="B61" s="11"/>
    </row>
    <row r="62">
      <c r="B62" s="11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5"/>
    <col customWidth="1" min="3" max="6" width="18.88"/>
    <col customWidth="1" min="7" max="7" width="19.88"/>
    <col customWidth="1" min="8" max="10" width="18.88"/>
    <col customWidth="1" min="11" max="11" width="19.38"/>
    <col customWidth="1" min="12" max="12" width="27.88"/>
    <col customWidth="1" min="13" max="26" width="18.88"/>
    <col customWidth="1" min="27" max="28" width="24.38"/>
    <col customWidth="1" min="29" max="29" width="19.5"/>
    <col customWidth="1" min="30" max="30" width="18.88"/>
    <col customWidth="1" min="31" max="31" width="24.5"/>
    <col customWidth="1" min="32" max="32" width="16.63"/>
  </cols>
  <sheetData>
    <row r="1" ht="22.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36</v>
      </c>
      <c r="H1" s="1" t="s">
        <v>8</v>
      </c>
      <c r="I1" s="1" t="s">
        <v>37</v>
      </c>
      <c r="J1" s="1" t="s">
        <v>10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T1" s="12"/>
      <c r="U1" s="12"/>
      <c r="V1" s="12"/>
      <c r="W1" s="12"/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5" t="s">
        <v>29</v>
      </c>
      <c r="AE1" s="5" t="s">
        <v>30</v>
      </c>
      <c r="AF1" s="6" t="s">
        <v>31</v>
      </c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38"/>
    <col customWidth="1" min="3" max="3" width="25.0"/>
    <col customWidth="1" min="4" max="4" width="13.75"/>
    <col customWidth="1" min="5" max="5" width="78.38"/>
  </cols>
  <sheetData>
    <row r="1">
      <c r="A1" s="7"/>
      <c r="B1" s="7"/>
      <c r="C1" s="7"/>
      <c r="D1" s="7"/>
      <c r="E1" s="7"/>
    </row>
    <row r="2">
      <c r="A2" s="13"/>
    </row>
    <row r="3">
      <c r="A3" s="13"/>
    </row>
    <row r="4">
      <c r="A4" s="13"/>
    </row>
    <row r="5">
      <c r="A5" s="13"/>
    </row>
    <row r="6">
      <c r="A6" s="13"/>
    </row>
    <row r="7">
      <c r="A7" s="13"/>
    </row>
    <row r="8">
      <c r="A8" s="13"/>
    </row>
    <row r="9">
      <c r="A9" s="13"/>
    </row>
    <row r="10">
      <c r="A10" s="13"/>
    </row>
    <row r="11">
      <c r="A11" s="13"/>
    </row>
    <row r="12">
      <c r="A12" s="13"/>
    </row>
    <row r="13">
      <c r="A13" s="13"/>
    </row>
    <row r="14">
      <c r="A14" s="13"/>
    </row>
    <row r="15">
      <c r="A15" s="13"/>
    </row>
    <row r="16">
      <c r="A16" s="13"/>
    </row>
    <row r="17">
      <c r="A17" s="13"/>
    </row>
    <row r="18">
      <c r="A18" s="13"/>
    </row>
    <row r="19">
      <c r="A19" s="13"/>
    </row>
    <row r="20">
      <c r="A20" s="13"/>
    </row>
    <row r="21">
      <c r="A21" s="13"/>
    </row>
    <row r="22">
      <c r="A22" s="13"/>
    </row>
    <row r="23">
      <c r="A23" s="13"/>
    </row>
    <row r="24">
      <c r="A24" s="13"/>
    </row>
    <row r="25">
      <c r="A25" s="13"/>
    </row>
    <row r="26">
      <c r="A26" s="13"/>
    </row>
    <row r="27">
      <c r="A27" s="13"/>
    </row>
    <row r="28">
      <c r="A28" s="13"/>
    </row>
    <row r="29">
      <c r="A29" s="13"/>
    </row>
    <row r="30">
      <c r="A30" s="13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13"/>
    <col customWidth="1" min="2" max="5" width="22.63"/>
    <col customWidth="1" min="6" max="6" width="33.75"/>
    <col customWidth="1" min="7" max="9" width="22.63"/>
    <col customWidth="1" min="10" max="11" width="20.13"/>
    <col customWidth="1" min="12" max="12" width="21.13"/>
  </cols>
  <sheetData>
    <row r="1" ht="22.5" customHeight="1">
      <c r="A1" s="14" t="s">
        <v>44</v>
      </c>
      <c r="B1" s="14" t="s">
        <v>45</v>
      </c>
      <c r="C1" s="14" t="s">
        <v>46</v>
      </c>
      <c r="D1" s="14" t="s">
        <v>47</v>
      </c>
      <c r="E1" s="14" t="s">
        <v>48</v>
      </c>
      <c r="F1" s="14" t="s">
        <v>49</v>
      </c>
      <c r="G1" s="14" t="s">
        <v>50</v>
      </c>
      <c r="H1" s="14" t="s">
        <v>23</v>
      </c>
      <c r="I1" s="15" t="s">
        <v>51</v>
      </c>
      <c r="J1" s="16" t="s">
        <v>52</v>
      </c>
      <c r="K1" s="16" t="s">
        <v>53</v>
      </c>
      <c r="L1" s="16" t="s">
        <v>54</v>
      </c>
    </row>
    <row r="2" ht="22.5" customHeight="1">
      <c r="A2" s="17" t="s">
        <v>55</v>
      </c>
      <c r="B2" s="18" t="s">
        <v>56</v>
      </c>
      <c r="C2" s="19" t="s">
        <v>57</v>
      </c>
      <c r="D2" s="20"/>
      <c r="E2" s="19" t="s">
        <v>58</v>
      </c>
      <c r="F2" s="21" t="s">
        <v>59</v>
      </c>
      <c r="G2" s="19" t="s">
        <v>60</v>
      </c>
      <c r="H2" s="18" t="s">
        <v>61</v>
      </c>
      <c r="I2" s="22"/>
    </row>
    <row r="3" ht="22.5" customHeight="1">
      <c r="A3" s="23" t="s">
        <v>62</v>
      </c>
      <c r="B3" s="18" t="s">
        <v>56</v>
      </c>
      <c r="C3" s="19" t="s">
        <v>63</v>
      </c>
      <c r="D3" s="20"/>
      <c r="E3" s="19" t="s">
        <v>64</v>
      </c>
      <c r="F3" s="24" t="s">
        <v>65</v>
      </c>
      <c r="G3" s="19" t="s">
        <v>66</v>
      </c>
      <c r="H3" s="18" t="s">
        <v>67</v>
      </c>
      <c r="I3" s="22">
        <f>COUNTIFS(#REF!, $A2, 'Pemeriksaan Gunasama 1'!$Z:$Z, "&lt;&gt;Completed")</f>
        <v>0</v>
      </c>
    </row>
    <row r="4" ht="22.5" customHeight="1">
      <c r="A4" s="17" t="s">
        <v>68</v>
      </c>
      <c r="B4" s="18" t="s">
        <v>69</v>
      </c>
      <c r="C4" s="19" t="s">
        <v>70</v>
      </c>
      <c r="D4" s="20" t="s">
        <v>71</v>
      </c>
      <c r="E4" s="19" t="s">
        <v>72</v>
      </c>
      <c r="F4" s="21" t="s">
        <v>73</v>
      </c>
      <c r="G4" s="19" t="s">
        <v>74</v>
      </c>
      <c r="H4" s="18" t="s">
        <v>67</v>
      </c>
      <c r="I4" s="22">
        <f>+ COUNTIFS(#REF!, $A2, 'Pemeriksaan Gunasama 1'!$Z:$Z, "&lt;&gt;Completed")</f>
        <v>0</v>
      </c>
      <c r="K4" s="25" t="s">
        <v>75</v>
      </c>
    </row>
    <row r="5" ht="22.5" customHeight="1">
      <c r="A5" s="23" t="s">
        <v>76</v>
      </c>
      <c r="B5" s="18" t="s">
        <v>77</v>
      </c>
      <c r="C5" s="19" t="s">
        <v>70</v>
      </c>
      <c r="D5" s="20" t="s">
        <v>78</v>
      </c>
      <c r="E5" s="19" t="s">
        <v>79</v>
      </c>
      <c r="F5" s="24" t="s">
        <v>80</v>
      </c>
      <c r="G5" s="19" t="s">
        <v>81</v>
      </c>
      <c r="H5" s="18" t="s">
        <v>82</v>
      </c>
      <c r="I5" s="22">
        <f>COUNTIFS(#REF!, $A4, 'Pemeriksaan Gunasama 1'!$Z:$Z, "&lt;&gt;Completed")</f>
        <v>0</v>
      </c>
      <c r="K5" s="25" t="s">
        <v>83</v>
      </c>
    </row>
    <row r="6" ht="22.5" customHeight="1">
      <c r="A6" s="17" t="s">
        <v>84</v>
      </c>
      <c r="B6" s="18" t="s">
        <v>85</v>
      </c>
      <c r="C6" s="19" t="s">
        <v>70</v>
      </c>
      <c r="D6" s="20" t="s">
        <v>86</v>
      </c>
      <c r="E6" s="19" t="s">
        <v>72</v>
      </c>
      <c r="F6" s="21" t="s">
        <v>87</v>
      </c>
      <c r="G6" s="19" t="s">
        <v>88</v>
      </c>
      <c r="H6" s="18" t="s">
        <v>89</v>
      </c>
      <c r="I6" s="22">
        <f>+ COUNTIFS(#REF!, $A4, 'Pemeriksaan Gunasama 1'!$Z:$Z, "&lt;&gt;Completed")</f>
        <v>0</v>
      </c>
    </row>
    <row r="7" ht="22.5" customHeight="1">
      <c r="A7" s="23" t="s">
        <v>90</v>
      </c>
      <c r="B7" s="18" t="s">
        <v>85</v>
      </c>
      <c r="C7" s="19" t="s">
        <v>70</v>
      </c>
      <c r="D7" s="20" t="s">
        <v>71</v>
      </c>
      <c r="E7" s="19" t="s">
        <v>72</v>
      </c>
      <c r="F7" s="24" t="s">
        <v>91</v>
      </c>
      <c r="G7" s="19" t="s">
        <v>92</v>
      </c>
      <c r="H7" s="18" t="s">
        <v>67</v>
      </c>
      <c r="I7" s="22">
        <f>COUNTIFS(#REF!, $A6, 'Pemeriksaan Gunasama 1'!$Z:$Z, "&lt;&gt;Completed")</f>
        <v>0</v>
      </c>
      <c r="K7" s="25" t="s">
        <v>93</v>
      </c>
    </row>
    <row r="8" ht="22.5" customHeight="1">
      <c r="A8" s="17" t="s">
        <v>94</v>
      </c>
      <c r="B8" s="18" t="s">
        <v>85</v>
      </c>
      <c r="C8" s="19" t="s">
        <v>70</v>
      </c>
      <c r="D8" s="20" t="s">
        <v>71</v>
      </c>
      <c r="E8" s="19" t="s">
        <v>95</v>
      </c>
      <c r="F8" s="21" t="s">
        <v>96</v>
      </c>
      <c r="G8" s="19" t="s">
        <v>97</v>
      </c>
      <c r="H8" s="18" t="s">
        <v>89</v>
      </c>
      <c r="I8" s="22">
        <f>+ COUNTIFS(#REF!, $A6, 'Pemeriksaan Gunasama 1'!$Z:$Z, "&lt;&gt;Completed")</f>
        <v>0</v>
      </c>
    </row>
    <row r="9" ht="22.5" customHeight="1">
      <c r="A9" s="23" t="s">
        <v>98</v>
      </c>
      <c r="B9" s="18" t="s">
        <v>85</v>
      </c>
      <c r="C9" s="19" t="s">
        <v>70</v>
      </c>
      <c r="D9" s="20" t="s">
        <v>71</v>
      </c>
      <c r="E9" s="19" t="s">
        <v>72</v>
      </c>
      <c r="F9" s="24" t="s">
        <v>99</v>
      </c>
      <c r="G9" s="19" t="s">
        <v>100</v>
      </c>
      <c r="H9" s="18" t="s">
        <v>67</v>
      </c>
      <c r="I9" s="22">
        <f>COUNTIFS(#REF!, $A8, 'Pemeriksaan Gunasama 1'!$Z:$Z, "&lt;&gt;Completed")</f>
        <v>0</v>
      </c>
      <c r="K9" s="25" t="s">
        <v>101</v>
      </c>
    </row>
    <row r="10" ht="22.5" customHeight="1">
      <c r="A10" s="17" t="s">
        <v>102</v>
      </c>
      <c r="B10" s="18" t="s">
        <v>103</v>
      </c>
      <c r="C10" s="19" t="s">
        <v>104</v>
      </c>
      <c r="D10" s="20"/>
      <c r="E10" s="19" t="s">
        <v>72</v>
      </c>
      <c r="F10" s="21" t="s">
        <v>105</v>
      </c>
      <c r="G10" s="19" t="s">
        <v>106</v>
      </c>
      <c r="H10" s="18" t="s">
        <v>89</v>
      </c>
      <c r="I10" s="22">
        <f>+ COUNTIFS(#REF!, $A8, 'Pemeriksaan Gunasama 1'!$Z:$Z, "&lt;&gt;Completed")</f>
        <v>0</v>
      </c>
    </row>
    <row r="11" ht="22.5" customHeight="1">
      <c r="A11" s="23" t="s">
        <v>107</v>
      </c>
      <c r="B11" s="18" t="s">
        <v>103</v>
      </c>
      <c r="C11" s="19" t="s">
        <v>104</v>
      </c>
      <c r="D11" s="20"/>
      <c r="E11" s="19" t="s">
        <v>72</v>
      </c>
      <c r="F11" s="24" t="s">
        <v>108</v>
      </c>
      <c r="G11" s="19" t="s">
        <v>109</v>
      </c>
      <c r="H11" s="18" t="s">
        <v>89</v>
      </c>
      <c r="I11" s="22">
        <f>COUNTIFS(#REF!, $A10, 'Pemeriksaan Gunasama 1'!$Z:$Z, "&lt;&gt;Completed")</f>
        <v>0</v>
      </c>
    </row>
    <row r="12" ht="22.5" customHeight="1">
      <c r="A12" s="17" t="s">
        <v>110</v>
      </c>
      <c r="B12" s="18" t="s">
        <v>103</v>
      </c>
      <c r="C12" s="19" t="s">
        <v>104</v>
      </c>
      <c r="D12" s="20"/>
      <c r="E12" s="19" t="s">
        <v>111</v>
      </c>
      <c r="F12" s="21" t="s">
        <v>112</v>
      </c>
      <c r="G12" s="19" t="s">
        <v>113</v>
      </c>
      <c r="H12" s="18" t="s">
        <v>67</v>
      </c>
      <c r="I12" s="22">
        <f>+ COUNTIFS(#REF!, $A10, 'Pemeriksaan Gunasama 1'!$Z:$Z, "&lt;&gt;Completed")</f>
        <v>0</v>
      </c>
    </row>
    <row r="13" ht="22.5" customHeight="1">
      <c r="A13" s="26" t="s">
        <v>114</v>
      </c>
      <c r="B13" s="18" t="s">
        <v>103</v>
      </c>
      <c r="C13" s="19" t="s">
        <v>104</v>
      </c>
      <c r="D13" s="20"/>
      <c r="E13" s="19" t="s">
        <v>72</v>
      </c>
      <c r="F13" s="27" t="s">
        <v>115</v>
      </c>
      <c r="G13" s="19" t="s">
        <v>116</v>
      </c>
      <c r="H13" s="18" t="s">
        <v>67</v>
      </c>
      <c r="I13" s="22">
        <f t="shared" ref="I13:I16" si="1">COUNTIFS(#REF!, $A12, 'Pemeriksaan Gunasama 1'!$Z:$Z, "&lt;&gt;Completed")</f>
        <v>0</v>
      </c>
    </row>
    <row r="14" ht="22.5" customHeight="1">
      <c r="A14" s="26" t="s">
        <v>117</v>
      </c>
      <c r="B14" s="18" t="s">
        <v>103</v>
      </c>
      <c r="C14" s="19" t="s">
        <v>104</v>
      </c>
      <c r="D14" s="20"/>
      <c r="E14" s="19" t="s">
        <v>72</v>
      </c>
      <c r="F14" s="27" t="s">
        <v>118</v>
      </c>
      <c r="G14" s="19"/>
      <c r="H14" s="18"/>
      <c r="I14" s="22">
        <f t="shared" si="1"/>
        <v>0</v>
      </c>
    </row>
    <row r="15" ht="22.5" customHeight="1">
      <c r="A15" s="26" t="s">
        <v>119</v>
      </c>
      <c r="B15" s="18" t="s">
        <v>103</v>
      </c>
      <c r="C15" s="19" t="s">
        <v>104</v>
      </c>
      <c r="D15" s="20"/>
      <c r="E15" s="19" t="s">
        <v>72</v>
      </c>
      <c r="F15" s="27" t="s">
        <v>120</v>
      </c>
      <c r="G15" s="19"/>
      <c r="H15" s="18"/>
      <c r="I15" s="22">
        <f t="shared" si="1"/>
        <v>0</v>
      </c>
    </row>
    <row r="16" ht="22.5" customHeight="1">
      <c r="A16" s="26" t="s">
        <v>121</v>
      </c>
      <c r="B16" s="18" t="s">
        <v>103</v>
      </c>
      <c r="C16" s="19" t="s">
        <v>104</v>
      </c>
      <c r="D16" s="20"/>
      <c r="E16" s="19" t="s">
        <v>72</v>
      </c>
      <c r="F16" s="27" t="s">
        <v>122</v>
      </c>
      <c r="G16" s="19"/>
      <c r="H16" s="18"/>
      <c r="I16" s="22">
        <f t="shared" si="1"/>
        <v>0</v>
      </c>
    </row>
  </sheetData>
  <dataValidations>
    <dataValidation type="list" allowBlank="1" sqref="B2:B16">
      <formula1>"KAPT,SSJN,SJN,SJN (U),AWAM"</formula1>
    </dataValidation>
    <dataValidation type="list" allowBlank="1" sqref="H2:H16">
      <formula1>"Aktif,Cuti,Sedang Bertugas,Kursus,Final Acceptance Test,Telah Ditugaskan,Kursus Peralihan"</formula1>
    </dataValidation>
    <dataValidation type="list" allowBlank="1" sqref="D2:D16">
      <formula1>"Material,Logistik,Pemandu,Bekalan"</formula1>
    </dataValidation>
  </dataValidations>
  <hyperlinks>
    <hyperlink r:id="rId1" ref="K4"/>
    <hyperlink r:id="rId2" ref="K5"/>
    <hyperlink r:id="rId3" ref="K7"/>
    <hyperlink r:id="rId4" ref="K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5.63"/>
  </cols>
  <sheetData>
    <row r="2" ht="22.5" customHeight="1">
      <c r="A2" s="28" t="s">
        <v>123</v>
      </c>
      <c r="B2" s="28" t="s">
        <v>11</v>
      </c>
      <c r="C2" s="28" t="s">
        <v>124</v>
      </c>
    </row>
    <row r="3" ht="22.5" customHeight="1">
      <c r="A3" s="28">
        <v>1.0</v>
      </c>
      <c r="B3" s="28" t="s">
        <v>125</v>
      </c>
      <c r="C3" s="28" t="s">
        <v>126</v>
      </c>
    </row>
    <row r="4" ht="22.5" customHeight="1">
      <c r="A4" s="29"/>
      <c r="B4" s="29"/>
      <c r="C4" s="28" t="s">
        <v>127</v>
      </c>
    </row>
    <row r="5" ht="22.5" customHeight="1">
      <c r="A5" s="29"/>
      <c r="B5" s="29"/>
      <c r="C5" s="28" t="s">
        <v>128</v>
      </c>
    </row>
    <row r="6" ht="22.5" customHeight="1">
      <c r="A6" s="29"/>
      <c r="B6" s="29"/>
      <c r="C6" s="28" t="s">
        <v>129</v>
      </c>
    </row>
    <row r="7" ht="22.5" customHeight="1">
      <c r="A7" s="29"/>
      <c r="B7" s="29"/>
      <c r="C7" s="28" t="s">
        <v>130</v>
      </c>
    </row>
    <row r="8" ht="22.5" customHeight="1">
      <c r="A8" s="29"/>
      <c r="B8" s="29"/>
      <c r="C8" s="28" t="s">
        <v>131</v>
      </c>
    </row>
    <row r="9" ht="22.5" customHeight="1">
      <c r="A9" s="29"/>
      <c r="B9" s="29"/>
      <c r="C9" s="28" t="s">
        <v>132</v>
      </c>
    </row>
    <row r="10" ht="22.5" customHeight="1">
      <c r="A10" s="29"/>
      <c r="B10" s="29"/>
      <c r="C10" s="28" t="s">
        <v>133</v>
      </c>
    </row>
    <row r="11" ht="22.5" customHeight="1">
      <c r="A11" s="29"/>
      <c r="B11" s="29"/>
      <c r="C11" s="28" t="s">
        <v>134</v>
      </c>
    </row>
    <row r="12" ht="22.5" customHeight="1">
      <c r="A12" s="29"/>
      <c r="B12" s="29"/>
      <c r="C12" s="28" t="s">
        <v>135</v>
      </c>
    </row>
    <row r="13" ht="22.5" customHeight="1">
      <c r="A13" s="29"/>
      <c r="B13" s="29"/>
      <c r="C13" s="28" t="s">
        <v>136</v>
      </c>
    </row>
    <row r="14" ht="22.5" customHeight="1">
      <c r="A14" s="29"/>
      <c r="B14" s="29"/>
      <c r="C14" s="28" t="s">
        <v>137</v>
      </c>
    </row>
    <row r="15" ht="22.5" customHeight="1">
      <c r="A15" s="29"/>
      <c r="B15" s="29"/>
      <c r="C15" s="28" t="s">
        <v>138</v>
      </c>
    </row>
    <row r="16" ht="22.5" customHeight="1">
      <c r="A16" s="29"/>
      <c r="B16" s="29"/>
      <c r="C16" s="28" t="s">
        <v>139</v>
      </c>
    </row>
    <row r="17" ht="22.5" customHeight="1">
      <c r="A17" s="29"/>
      <c r="B17" s="29"/>
      <c r="C17" s="28" t="s">
        <v>140</v>
      </c>
    </row>
    <row r="18" ht="22.5" customHeight="1">
      <c r="A18" s="29"/>
      <c r="B18" s="29"/>
      <c r="C18" s="28" t="s">
        <v>141</v>
      </c>
    </row>
    <row r="19" ht="22.5" customHeight="1">
      <c r="A19" s="29"/>
      <c r="B19" s="29"/>
      <c r="C19" s="28" t="s">
        <v>142</v>
      </c>
    </row>
    <row r="20" ht="22.5" customHeight="1">
      <c r="A20" s="29"/>
      <c r="B20" s="29"/>
      <c r="C20" s="28" t="s">
        <v>143</v>
      </c>
    </row>
    <row r="21" ht="22.5" customHeight="1">
      <c r="A21" s="29"/>
      <c r="B21" s="29"/>
      <c r="C21" s="28" t="s">
        <v>144</v>
      </c>
    </row>
    <row r="22" ht="22.5" customHeight="1">
      <c r="A22" s="29"/>
      <c r="B22" s="29"/>
      <c r="C22" s="28" t="s">
        <v>145</v>
      </c>
    </row>
    <row r="23" ht="22.5" customHeight="1">
      <c r="A23" s="29"/>
      <c r="B23" s="29"/>
      <c r="C23" s="28" t="s">
        <v>146</v>
      </c>
    </row>
    <row r="24" ht="22.5" customHeight="1">
      <c r="A24" s="29"/>
      <c r="B24" s="29"/>
      <c r="C24" s="28" t="s">
        <v>147</v>
      </c>
    </row>
    <row r="25" ht="22.5" customHeight="1">
      <c r="A25" s="29"/>
      <c r="B25" s="29"/>
      <c r="C25" s="28" t="s">
        <v>148</v>
      </c>
    </row>
    <row r="26" ht="22.5" customHeight="1">
      <c r="A26" s="29"/>
      <c r="B26" s="29"/>
      <c r="C26" s="28" t="s">
        <v>149</v>
      </c>
    </row>
    <row r="27" ht="22.5" customHeight="1">
      <c r="A27" s="29"/>
      <c r="B27" s="29"/>
      <c r="C27" s="28" t="s">
        <v>150</v>
      </c>
    </row>
    <row r="28" ht="22.5" customHeight="1">
      <c r="A28" s="29"/>
      <c r="B28" s="29"/>
      <c r="C28" s="28" t="s">
        <v>151</v>
      </c>
    </row>
    <row r="29" ht="22.5" customHeight="1">
      <c r="A29" s="29"/>
      <c r="B29" s="29"/>
      <c r="C29" s="28" t="s">
        <v>152</v>
      </c>
    </row>
    <row r="30" ht="22.5" customHeight="1">
      <c r="A30" s="29"/>
      <c r="B30" s="29"/>
      <c r="C30" s="28" t="s">
        <v>153</v>
      </c>
    </row>
    <row r="31" ht="22.5" customHeight="1">
      <c r="A31" s="29"/>
      <c r="B31" s="29"/>
      <c r="C31" s="28" t="s">
        <v>154</v>
      </c>
    </row>
    <row r="32" ht="22.5" customHeight="1">
      <c r="A32" s="28">
        <v>2.0</v>
      </c>
      <c r="B32" s="28" t="s">
        <v>155</v>
      </c>
      <c r="C32" s="29"/>
    </row>
    <row r="33" ht="22.5" customHeight="1">
      <c r="A33" s="28">
        <v>3.0</v>
      </c>
      <c r="B33" s="28" t="s">
        <v>156</v>
      </c>
      <c r="C33" s="29"/>
    </row>
    <row r="34" ht="22.5" customHeight="1">
      <c r="A34" s="28">
        <v>4.0</v>
      </c>
      <c r="B34" s="28" t="s">
        <v>157</v>
      </c>
      <c r="C34" s="29"/>
    </row>
    <row r="35" ht="22.5" customHeight="1">
      <c r="A35" s="28">
        <v>5.0</v>
      </c>
      <c r="B35" s="28" t="s">
        <v>158</v>
      </c>
      <c r="C35" s="29"/>
    </row>
    <row r="36" ht="22.5" customHeight="1">
      <c r="A36" s="28">
        <v>6.0</v>
      </c>
      <c r="B36" s="28" t="s">
        <v>159</v>
      </c>
      <c r="C36" s="29"/>
    </row>
    <row r="37" ht="22.5" customHeight="1">
      <c r="A37" s="28">
        <v>7.0</v>
      </c>
      <c r="B37" s="28" t="s">
        <v>160</v>
      </c>
      <c r="C37" s="29"/>
    </row>
    <row r="38" ht="22.5" customHeight="1">
      <c r="A38" s="28">
        <v>8.0</v>
      </c>
      <c r="B38" s="28" t="s">
        <v>161</v>
      </c>
      <c r="C38" s="29"/>
    </row>
    <row r="39" ht="22.5" customHeight="1">
      <c r="A39" s="28">
        <v>9.0</v>
      </c>
      <c r="B39" s="28" t="s">
        <v>162</v>
      </c>
      <c r="C39" s="28" t="s">
        <v>163</v>
      </c>
    </row>
    <row r="40" ht="22.5" customHeight="1">
      <c r="A40" s="29"/>
      <c r="B40" s="29"/>
      <c r="C40" s="28" t="s">
        <v>164</v>
      </c>
    </row>
    <row r="41" ht="22.5" customHeight="1">
      <c r="A41" s="29"/>
      <c r="B41" s="29"/>
      <c r="C41" s="28" t="s">
        <v>165</v>
      </c>
    </row>
    <row r="42" ht="22.5" customHeight="1">
      <c r="A42" s="29"/>
      <c r="B42" s="29"/>
      <c r="C42" s="28" t="s">
        <v>166</v>
      </c>
    </row>
    <row r="43" ht="22.5" customHeight="1">
      <c r="B43" s="29"/>
      <c r="C43" s="28" t="s">
        <v>167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22.88"/>
  </cols>
  <sheetData>
    <row r="2" ht="22.5" customHeight="1">
      <c r="A2" s="28" t="s">
        <v>123</v>
      </c>
      <c r="B2" s="28" t="s">
        <v>11</v>
      </c>
      <c r="C2" s="28" t="s">
        <v>124</v>
      </c>
    </row>
    <row r="3" ht="22.5" customHeight="1">
      <c r="A3" s="28">
        <v>1.0</v>
      </c>
      <c r="B3" s="28" t="s">
        <v>168</v>
      </c>
      <c r="C3" s="28" t="s">
        <v>169</v>
      </c>
    </row>
    <row r="4" ht="22.5" customHeight="1">
      <c r="A4" s="29"/>
      <c r="B4" s="29"/>
      <c r="C4" s="28" t="s">
        <v>170</v>
      </c>
    </row>
    <row r="5" ht="22.5" customHeight="1">
      <c r="A5" s="29"/>
      <c r="B5" s="29"/>
      <c r="C5" s="28" t="s">
        <v>171</v>
      </c>
    </row>
    <row r="6" ht="22.5" customHeight="1">
      <c r="A6" s="29"/>
      <c r="B6" s="29"/>
      <c r="C6" s="28" t="s">
        <v>172</v>
      </c>
    </row>
    <row r="7" ht="22.5" customHeight="1">
      <c r="A7" s="29"/>
      <c r="B7" s="29"/>
      <c r="C7" s="28" t="s">
        <v>173</v>
      </c>
    </row>
    <row r="8" ht="22.5" customHeight="1">
      <c r="A8" s="29"/>
      <c r="B8" s="29"/>
      <c r="C8" s="28" t="s">
        <v>174</v>
      </c>
    </row>
    <row r="9" ht="22.5" customHeight="1">
      <c r="A9" s="29"/>
      <c r="B9" s="29"/>
      <c r="C9" s="28" t="s">
        <v>175</v>
      </c>
    </row>
    <row r="10" ht="22.5" customHeight="1">
      <c r="A10" s="29"/>
      <c r="B10" s="29"/>
      <c r="C10" s="28" t="s">
        <v>176</v>
      </c>
    </row>
    <row r="11" ht="22.5" customHeight="1">
      <c r="A11" s="29"/>
      <c r="B11" s="29"/>
      <c r="C11" s="28" t="s">
        <v>177</v>
      </c>
    </row>
    <row r="12" ht="22.5" customHeight="1">
      <c r="A12" s="28">
        <v>2.0</v>
      </c>
      <c r="B12" s="28" t="s">
        <v>178</v>
      </c>
      <c r="C12" s="28" t="s">
        <v>179</v>
      </c>
    </row>
    <row r="13" ht="22.5" customHeight="1">
      <c r="A13" s="29"/>
      <c r="B13" s="29"/>
      <c r="C13" s="28" t="s">
        <v>180</v>
      </c>
    </row>
    <row r="14" ht="22.5" customHeight="1">
      <c r="A14" s="29"/>
      <c r="B14" s="29"/>
      <c r="C14" s="28" t="s">
        <v>181</v>
      </c>
    </row>
    <row r="15" ht="22.5" customHeight="1">
      <c r="A15" s="29"/>
      <c r="B15" s="29"/>
      <c r="C15" s="28" t="s">
        <v>182</v>
      </c>
    </row>
    <row r="16" ht="22.5" customHeight="1">
      <c r="A16" s="29"/>
      <c r="B16" s="29"/>
      <c r="C16" s="28" t="s">
        <v>183</v>
      </c>
    </row>
    <row r="17" ht="22.5" customHeight="1">
      <c r="A17" s="29"/>
      <c r="B17" s="29"/>
      <c r="C17" s="28" t="s">
        <v>184</v>
      </c>
    </row>
    <row r="18" ht="22.5" customHeight="1">
      <c r="A18" s="28">
        <v>3.0</v>
      </c>
      <c r="B18" s="28" t="s">
        <v>185</v>
      </c>
      <c r="C18" s="28"/>
    </row>
    <row r="19" ht="22.5" customHeight="1">
      <c r="A19" s="28">
        <v>4.0</v>
      </c>
      <c r="B19" s="28" t="s">
        <v>186</v>
      </c>
      <c r="C19" s="28"/>
    </row>
    <row r="20" ht="22.5" customHeight="1">
      <c r="A20" s="28">
        <v>5.0</v>
      </c>
      <c r="B20" s="28" t="s">
        <v>187</v>
      </c>
      <c r="C20" s="28"/>
    </row>
    <row r="21" ht="22.5" customHeight="1">
      <c r="A21" s="28">
        <v>6.0</v>
      </c>
      <c r="B21" s="28" t="s">
        <v>188</v>
      </c>
      <c r="C21" s="28"/>
    </row>
    <row r="22" ht="22.5" customHeight="1">
      <c r="A22" s="28">
        <v>7.0</v>
      </c>
      <c r="B22" s="28" t="s">
        <v>189</v>
      </c>
      <c r="C22" s="28"/>
    </row>
    <row r="23" ht="22.5" customHeight="1">
      <c r="A23" s="28">
        <v>8.0</v>
      </c>
      <c r="B23" s="28" t="s">
        <v>190</v>
      </c>
      <c r="C23" s="28"/>
    </row>
    <row r="24" ht="22.5" customHeight="1">
      <c r="A24" s="28">
        <v>9.0</v>
      </c>
      <c r="B24" s="28" t="s">
        <v>191</v>
      </c>
      <c r="C24" s="28"/>
    </row>
    <row r="25" ht="22.5" customHeight="1">
      <c r="A25" s="28">
        <v>10.0</v>
      </c>
      <c r="B25" s="28" t="s">
        <v>192</v>
      </c>
      <c r="C25" s="28"/>
    </row>
    <row r="26" ht="22.5" customHeight="1">
      <c r="A26" s="28">
        <v>11.0</v>
      </c>
      <c r="B26" s="28" t="s">
        <v>193</v>
      </c>
      <c r="C26" s="28"/>
    </row>
    <row r="27" ht="22.5" customHeight="1">
      <c r="A27" s="28">
        <v>12.0</v>
      </c>
      <c r="B27" s="28" t="s">
        <v>194</v>
      </c>
      <c r="C27" s="28"/>
    </row>
    <row r="28" ht="22.5" customHeight="1">
      <c r="A28" s="28">
        <v>13.0</v>
      </c>
      <c r="B28" s="28" t="s">
        <v>195</v>
      </c>
      <c r="C28" s="28"/>
    </row>
    <row r="29" ht="22.5" customHeight="1">
      <c r="A29" s="28">
        <v>14.0</v>
      </c>
      <c r="B29" s="28" t="s">
        <v>196</v>
      </c>
      <c r="C29" s="28"/>
    </row>
    <row r="30" ht="22.5" customHeight="1">
      <c r="A30" s="28">
        <v>15.0</v>
      </c>
      <c r="B30" s="28" t="s">
        <v>197</v>
      </c>
      <c r="C30" s="28"/>
    </row>
    <row r="31" ht="22.5" customHeight="1">
      <c r="A31" s="30">
        <v>16.0</v>
      </c>
      <c r="B31" s="30" t="s">
        <v>198</v>
      </c>
      <c r="C31" s="30"/>
    </row>
    <row r="32" ht="22.5" customHeight="1">
      <c r="A32" s="30">
        <v>17.0</v>
      </c>
      <c r="B32" s="30" t="s">
        <v>199</v>
      </c>
      <c r="C32" s="30"/>
    </row>
    <row r="33" ht="22.5" customHeight="1">
      <c r="A33" s="30">
        <v>18.0</v>
      </c>
      <c r="B33" s="30" t="s">
        <v>200</v>
      </c>
      <c r="C33" s="30"/>
    </row>
    <row r="34" ht="22.5" customHeight="1">
      <c r="A34" s="30">
        <v>19.0</v>
      </c>
      <c r="B34" s="30" t="s">
        <v>201</v>
      </c>
      <c r="C34" s="30"/>
    </row>
    <row r="35" ht="22.5" customHeight="1">
      <c r="A35" s="30">
        <v>20.0</v>
      </c>
      <c r="B35" s="30" t="s">
        <v>202</v>
      </c>
      <c r="C35" s="30"/>
    </row>
    <row r="36" ht="22.5" customHeight="1">
      <c r="A36" s="30">
        <v>21.0</v>
      </c>
      <c r="B36" s="30" t="s">
        <v>203</v>
      </c>
      <c r="C36" s="30"/>
    </row>
    <row r="37" ht="22.5" customHeight="1">
      <c r="A37" s="30">
        <v>22.0</v>
      </c>
      <c r="B37" s="30" t="s">
        <v>204</v>
      </c>
      <c r="C37" s="30"/>
    </row>
    <row r="38" ht="22.5" customHeight="1">
      <c r="A38" s="30">
        <v>23.0</v>
      </c>
      <c r="B38" s="30" t="s">
        <v>205</v>
      </c>
      <c r="C38" s="30"/>
    </row>
    <row r="39" ht="22.5" customHeight="1">
      <c r="A39" s="30">
        <v>24.0</v>
      </c>
      <c r="B39" s="30" t="s">
        <v>206</v>
      </c>
      <c r="C39" s="30" t="s">
        <v>207</v>
      </c>
    </row>
    <row r="40" ht="22.5" customHeight="1">
      <c r="A40" s="31"/>
      <c r="B40" s="30"/>
      <c r="C40" s="30" t="s">
        <v>208</v>
      </c>
    </row>
    <row r="41" ht="22.5" customHeight="1">
      <c r="A41" s="31"/>
      <c r="B41" s="30"/>
      <c r="C41" s="30" t="s">
        <v>209</v>
      </c>
    </row>
    <row r="42" ht="22.5" customHeight="1">
      <c r="A42" s="31"/>
      <c r="B42" s="30"/>
      <c r="C42" s="30" t="s">
        <v>210</v>
      </c>
    </row>
    <row r="43" ht="22.5" customHeight="1">
      <c r="A43" s="31"/>
      <c r="B43" s="30"/>
      <c r="C43" s="30" t="s">
        <v>211</v>
      </c>
    </row>
    <row r="44" ht="22.5" customHeight="1">
      <c r="A44" s="31"/>
      <c r="B44" s="30"/>
      <c r="C44" s="30" t="s">
        <v>212</v>
      </c>
    </row>
    <row r="45" ht="22.5" customHeight="1">
      <c r="A45" s="31"/>
      <c r="B45" s="30"/>
      <c r="C45" s="30" t="s">
        <v>213</v>
      </c>
    </row>
    <row r="46" ht="22.5" customHeight="1">
      <c r="A46" s="31"/>
      <c r="B46" s="30"/>
      <c r="C46" s="30" t="s">
        <v>214</v>
      </c>
    </row>
    <row r="47" ht="22.5" customHeight="1">
      <c r="A47" s="30">
        <v>25.0</v>
      </c>
      <c r="B47" s="30" t="s">
        <v>215</v>
      </c>
      <c r="C47" s="3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5"/>
  </cols>
  <sheetData>
    <row r="1">
      <c r="A1" s="32" t="s">
        <v>216</v>
      </c>
      <c r="C1" s="33" t="s">
        <v>217</v>
      </c>
      <c r="E1" s="33" t="s">
        <v>218</v>
      </c>
    </row>
    <row r="2">
      <c r="A2" s="34" t="s">
        <v>219</v>
      </c>
      <c r="C2" s="33" t="s">
        <v>220</v>
      </c>
      <c r="E2" s="33" t="s">
        <v>221</v>
      </c>
    </row>
    <row r="3">
      <c r="A3" s="32" t="s">
        <v>222</v>
      </c>
      <c r="C3" s="33" t="s">
        <v>223</v>
      </c>
      <c r="E3" s="33" t="s">
        <v>224</v>
      </c>
    </row>
    <row r="4">
      <c r="A4" s="34" t="s">
        <v>225</v>
      </c>
      <c r="C4" s="33" t="s">
        <v>226</v>
      </c>
      <c r="E4" s="33" t="s">
        <v>227</v>
      </c>
    </row>
    <row r="5">
      <c r="A5" s="32" t="s">
        <v>228</v>
      </c>
      <c r="C5" s="33" t="s">
        <v>229</v>
      </c>
      <c r="E5" s="33" t="s">
        <v>230</v>
      </c>
    </row>
    <row r="6">
      <c r="A6" s="34" t="s">
        <v>231</v>
      </c>
      <c r="C6" s="33" t="s">
        <v>232</v>
      </c>
    </row>
    <row r="7">
      <c r="A7" s="32" t="s">
        <v>233</v>
      </c>
      <c r="C7" s="33" t="s">
        <v>234</v>
      </c>
    </row>
    <row r="8">
      <c r="A8" s="34" t="s">
        <v>235</v>
      </c>
    </row>
    <row r="9">
      <c r="A9" s="32" t="s">
        <v>236</v>
      </c>
    </row>
    <row r="10">
      <c r="A10" s="34" t="s">
        <v>237</v>
      </c>
    </row>
    <row r="11">
      <c r="A11" s="35" t="s">
        <v>238</v>
      </c>
    </row>
    <row r="12">
      <c r="A12" s="36" t="s">
        <v>239</v>
      </c>
      <c r="E12" s="37"/>
    </row>
    <row r="15">
      <c r="A15" s="37"/>
    </row>
    <row r="16">
      <c r="A16" s="38" t="s">
        <v>240</v>
      </c>
    </row>
    <row r="17">
      <c r="A17" s="38" t="s">
        <v>240</v>
      </c>
    </row>
    <row r="18">
      <c r="A18" s="38" t="s">
        <v>240</v>
      </c>
    </row>
    <row r="21">
      <c r="B21" s="38" t="s">
        <v>241</v>
      </c>
    </row>
  </sheetData>
  <hyperlinks>
    <hyperlink r:id="rId1" ref="A16"/>
    <hyperlink r:id="rId2" ref="A17"/>
    <hyperlink r:id="rId3" ref="A18"/>
    <hyperlink r:id="rId4" ref="B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"/>
  <tableParts count="1">
    <tablePart r:id="rId7"/>
  </tableParts>
</worksheet>
</file>